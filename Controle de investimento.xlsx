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87362\Downloads\"/>
    </mc:Choice>
  </mc:AlternateContent>
  <xr:revisionPtr revIDLastSave="0" documentId="8_{29741AEB-758A-4954-A94E-EB724BCB8772}" xr6:coauthVersionLast="47" xr6:coauthVersionMax="47" xr10:uidLastSave="{00000000-0000-0000-0000-000000000000}"/>
  <bookViews>
    <workbookView xWindow="-120" yWindow="-120" windowWidth="29040" windowHeight="1572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<sst xmlns="http://schemas.openxmlformats.org/spreadsheetml/2006/main" count="71" uniqueCount="34">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</sst>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F4-40CE-A88A-0CC991373B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F4-40CE-A88A-0CC991373B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F4-40CE-A88A-0CC991373BB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F4-40CE-A88A-0CC991373BB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F4-40CE-A88A-0CC991373BB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F4-40CE-A88A-0CC991373B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4</xdr:col>
      <xdr:colOff>281728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XFD57"/>
  <sheetViews>
    <sheetView showGridLines="0" tabSelected="1" zoomScale="85" zoomScaleNormal="85" workbookViewId="0">
      <selection activeCell="H15" sqref="H15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5" width="21" customWidth="1"/>
    <col min="6" max="6" width="15.42578125" customWidth="1"/>
    <col min="7" max="7" width="16.140625" customWidth="1"/>
    <col min="8" max="8" width="40.7109375" customWidth="1"/>
    <col min="9" max="16376" width="8.7109375" hidden="1"/>
    <col min="16377" max="16377" width="35.140625" customWidth="1"/>
    <col min="16378" max="16378" width="23.5703125" customWidth="1"/>
    <col min="16379" max="16379" width="14.7109375" customWidth="1"/>
    <col min="16380" max="16380" width="32.140625" customWidth="1"/>
    <col min="16381" max="16381" width="28.28515625" customWidth="1"/>
    <col min="16382" max="16382" width="64.5703125" customWidth="1"/>
    <col min="16383" max="16383" width="28.42578125" customWidth="1"/>
    <col min="16384" max="16384" width="89.28515625" customWidth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43" t="s">
        <v>14</v>
      </c>
      <c r="C12" s="44"/>
      <c r="D12" s="23">
        <v>2000</v>
      </c>
    </row>
    <row r="13" spans="2:4" ht="17.25" x14ac:dyDescent="0.3">
      <c r="B13" s="45" t="s">
        <v>13</v>
      </c>
      <c r="C13" s="46"/>
      <c r="D13" s="24">
        <v>6.0000000000000001E-3</v>
      </c>
    </row>
    <row r="14" spans="2:4" ht="18" thickBot="1" x14ac:dyDescent="0.35">
      <c r="B14" s="52" t="s">
        <v>33</v>
      </c>
      <c r="C14" s="53"/>
      <c r="D14" s="25">
        <f>D12*30%</f>
        <v>600</v>
      </c>
    </row>
    <row r="15" spans="2:4" ht="15.75" thickBot="1" x14ac:dyDescent="0.3"/>
    <row r="16" spans="2:4" ht="28.5" customHeight="1" x14ac:dyDescent="0.25">
      <c r="B16" s="49" t="s">
        <v>5</v>
      </c>
      <c r="C16" s="50"/>
      <c r="D16" s="51"/>
    </row>
    <row r="17" spans="1:6" ht="17.25" x14ac:dyDescent="0.3">
      <c r="B17" s="43" t="s">
        <v>0</v>
      </c>
      <c r="C17" s="44"/>
      <c r="D17" s="18">
        <v>200</v>
      </c>
    </row>
    <row r="18" spans="1:6" ht="17.25" x14ac:dyDescent="0.3">
      <c r="B18" s="45" t="s">
        <v>1</v>
      </c>
      <c r="C18" s="46"/>
      <c r="D18" s="19">
        <v>5</v>
      </c>
    </row>
    <row r="19" spans="1:6" ht="17.25" x14ac:dyDescent="0.3">
      <c r="B19" s="45" t="s">
        <v>2</v>
      </c>
      <c r="C19" s="46"/>
      <c r="D19" s="20">
        <v>1.0789999999999999E-2</v>
      </c>
    </row>
    <row r="20" spans="1:6" ht="17.25" x14ac:dyDescent="0.3">
      <c r="B20" s="54" t="s">
        <v>3</v>
      </c>
      <c r="C20" s="55"/>
      <c r="D20" s="21">
        <f>FV(taxa_mensal,qtd_anos*12,aporte*-1)</f>
        <v>16755.382799697527</v>
      </c>
    </row>
    <row r="21" spans="1:6" ht="18" thickBot="1" x14ac:dyDescent="0.35">
      <c r="B21" s="47" t="s">
        <v>4</v>
      </c>
      <c r="C21" s="48"/>
      <c r="D21" s="22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49" t="s">
        <v>11</v>
      </c>
      <c r="C23" s="50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 x14ac:dyDescent="0.3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 x14ac:dyDescent="0.3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 x14ac:dyDescent="0.3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f>aporte</f>
        <v>200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 x14ac:dyDescent="0.25">
      <c r="B42" s="31"/>
      <c r="C42" s="31"/>
      <c r="D42" s="3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de Souza, Ailton (External)</cp:lastModifiedBy>
  <dcterms:created xsi:type="dcterms:W3CDTF">2025-04-16T18:38:03Z</dcterms:created>
  <dcterms:modified xsi:type="dcterms:W3CDTF">2026-09-24T17:47:46Z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